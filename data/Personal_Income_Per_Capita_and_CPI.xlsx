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Box Sync\Stephen\rmarkdown\noteset05\data\"/>
    </mc:Choice>
  </mc:AlternateContent>
  <xr:revisionPtr revIDLastSave="0" documentId="13_ncr:1_{58FD5A3A-09E1-4C15-ADFC-8D688E0FC6F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FRED Grap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2" i="1"/>
</calcChain>
</file>

<file path=xl/sharedStrings.xml><?xml version="1.0" encoding="utf-8"?>
<sst xmlns="http://schemas.openxmlformats.org/spreadsheetml/2006/main" count="6" uniqueCount="6">
  <si>
    <t>pcinc</t>
  </si>
  <si>
    <t>cpi</t>
  </si>
  <si>
    <t>Year</t>
  </si>
  <si>
    <t>rpcinc</t>
  </si>
  <si>
    <t>inflation</t>
  </si>
  <si>
    <t>rpcinc2017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</si>
</sst>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workbookViewId="0">
      <selection activeCell="E2" sqref="E2"/>
    </sheetView>
  </sheetViews>
  <sheetFormatPr defaultRowHeight="12.5" x14ac:dyDescent="0.25"/>
  <cols>
    <col min="1" max="256" width="20.7265625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3</v>
      </c>
      <c r="E1" t="s">
        <v>5</v>
      </c>
      <c r="F1" t="s">
        <v>4</v>
      </c>
    </row>
    <row r="2" spans="1:6" x14ac:dyDescent="0.25">
      <c r="A2">
        <v>1946</v>
      </c>
      <c r="B2" s="1">
        <v>1349</v>
      </c>
      <c r="C2">
        <v>21.48</v>
      </c>
      <c r="D2" s="2">
        <f>300.536*B2/C2</f>
        <v>18874.444320297953</v>
      </c>
      <c r="E2" s="2">
        <f>B2*248.859/C2</f>
        <v>15628.993994413409</v>
      </c>
    </row>
    <row r="3" spans="1:6" x14ac:dyDescent="0.25">
      <c r="A3">
        <v>1947</v>
      </c>
      <c r="B3" s="1">
        <v>1456</v>
      </c>
      <c r="C3">
        <v>23.68</v>
      </c>
      <c r="D3" s="2">
        <f t="shared" ref="D3:D66" si="0">300.536*B3/C3</f>
        <v>18478.902702702704</v>
      </c>
      <c r="E3" s="2">
        <f t="shared" ref="E3:E66" si="1">B3*248.859/C3</f>
        <v>15301.465540540541</v>
      </c>
      <c r="F3">
        <f>100*(C3-C2)/C2</f>
        <v>10.242085661080072</v>
      </c>
    </row>
    <row r="4" spans="1:6" x14ac:dyDescent="0.25">
      <c r="A4">
        <v>1948</v>
      </c>
      <c r="B4" s="1">
        <v>1415</v>
      </c>
      <c r="C4">
        <v>24.01</v>
      </c>
      <c r="D4" s="2">
        <f t="shared" si="0"/>
        <v>17711.721782590586</v>
      </c>
      <c r="E4" s="2">
        <f t="shared" si="1"/>
        <v>14666.200957934192</v>
      </c>
      <c r="F4">
        <f t="shared" ref="F4:F67" si="2">100*(C4-C3)/C3</f>
        <v>1.3935810810810889</v>
      </c>
    </row>
    <row r="5" spans="1:6" x14ac:dyDescent="0.25">
      <c r="A5">
        <v>1949</v>
      </c>
      <c r="B5" s="1">
        <v>1541</v>
      </c>
      <c r="C5">
        <v>23.51</v>
      </c>
      <c r="D5" s="2">
        <f t="shared" si="0"/>
        <v>19699.105742237345</v>
      </c>
      <c r="E5" s="2">
        <f t="shared" si="1"/>
        <v>16311.855338153977</v>
      </c>
      <c r="F5">
        <f t="shared" si="2"/>
        <v>-2.0824656393169509</v>
      </c>
    </row>
    <row r="6" spans="1:6" x14ac:dyDescent="0.25">
      <c r="A6">
        <v>1950</v>
      </c>
      <c r="B6" s="1">
        <v>1713</v>
      </c>
      <c r="C6">
        <v>25.38</v>
      </c>
      <c r="D6" s="2">
        <f t="shared" si="0"/>
        <v>20284.403782505909</v>
      </c>
      <c r="E6" s="2">
        <f t="shared" si="1"/>
        <v>16796.51170212766</v>
      </c>
      <c r="F6">
        <f t="shared" si="2"/>
        <v>7.9540621012335064</v>
      </c>
    </row>
    <row r="7" spans="1:6" x14ac:dyDescent="0.25">
      <c r="A7">
        <v>1951</v>
      </c>
      <c r="B7" s="1">
        <v>1800</v>
      </c>
      <c r="C7">
        <v>26.45</v>
      </c>
      <c r="D7" s="2">
        <f t="shared" si="0"/>
        <v>20452.355387523632</v>
      </c>
      <c r="E7" s="2">
        <f t="shared" si="1"/>
        <v>16935.584120982989</v>
      </c>
      <c r="F7">
        <f t="shared" si="2"/>
        <v>4.2159180457052807</v>
      </c>
    </row>
    <row r="8" spans="1:6" x14ac:dyDescent="0.25">
      <c r="A8">
        <v>1952</v>
      </c>
      <c r="B8" s="1">
        <v>1875</v>
      </c>
      <c r="C8">
        <v>26.64</v>
      </c>
      <c r="D8" s="2">
        <f t="shared" si="0"/>
        <v>21152.590090090089</v>
      </c>
      <c r="E8" s="2">
        <f t="shared" si="1"/>
        <v>17515.41385135135</v>
      </c>
      <c r="F8">
        <f t="shared" si="2"/>
        <v>0.71833648393195193</v>
      </c>
    </row>
    <row r="9" spans="1:6" x14ac:dyDescent="0.25">
      <c r="A9">
        <v>1953</v>
      </c>
      <c r="B9" s="1">
        <v>1861</v>
      </c>
      <c r="C9">
        <v>26.94</v>
      </c>
      <c r="D9" s="2">
        <f t="shared" si="0"/>
        <v>20760.857312546399</v>
      </c>
      <c r="E9" s="2">
        <f t="shared" si="1"/>
        <v>17191.039309576838</v>
      </c>
      <c r="F9">
        <f t="shared" si="2"/>
        <v>1.1261261261261288</v>
      </c>
    </row>
    <row r="10" spans="1:6" x14ac:dyDescent="0.25">
      <c r="A10">
        <v>1954</v>
      </c>
      <c r="B10" s="1">
        <v>1961</v>
      </c>
      <c r="C10">
        <v>26.77</v>
      </c>
      <c r="D10" s="2">
        <f t="shared" si="0"/>
        <v>22015.356593201344</v>
      </c>
      <c r="E10" s="2">
        <f t="shared" si="1"/>
        <v>18229.828128502057</v>
      </c>
      <c r="F10">
        <f t="shared" si="2"/>
        <v>-0.63103192279139453</v>
      </c>
    </row>
    <row r="11" spans="1:6" x14ac:dyDescent="0.25">
      <c r="A11">
        <v>1955</v>
      </c>
      <c r="B11" s="1">
        <v>2068</v>
      </c>
      <c r="C11">
        <v>26.83</v>
      </c>
      <c r="D11" s="2">
        <f t="shared" si="0"/>
        <v>23164.683115915021</v>
      </c>
      <c r="E11" s="2">
        <f t="shared" si="1"/>
        <v>19181.528587402165</v>
      </c>
      <c r="F11">
        <f t="shared" si="2"/>
        <v>0.22413149047440689</v>
      </c>
    </row>
    <row r="12" spans="1:6" x14ac:dyDescent="0.25">
      <c r="A12">
        <v>1956</v>
      </c>
      <c r="B12" s="1">
        <v>2149</v>
      </c>
      <c r="C12">
        <v>27.67</v>
      </c>
      <c r="D12" s="2">
        <f t="shared" si="0"/>
        <v>23341.231080592701</v>
      </c>
      <c r="E12" s="2">
        <f t="shared" si="1"/>
        <v>19327.719226599205</v>
      </c>
      <c r="F12">
        <f t="shared" si="2"/>
        <v>3.1308237048080634</v>
      </c>
    </row>
    <row r="13" spans="1:6" x14ac:dyDescent="0.25">
      <c r="A13">
        <v>1957</v>
      </c>
      <c r="B13" s="1">
        <v>2176</v>
      </c>
      <c r="C13">
        <v>28.64</v>
      </c>
      <c r="D13" s="2">
        <f t="shared" si="0"/>
        <v>22834.020111731843</v>
      </c>
      <c r="E13" s="2">
        <f t="shared" si="1"/>
        <v>18907.722905027931</v>
      </c>
      <c r="F13">
        <f t="shared" si="2"/>
        <v>3.5056017347307509</v>
      </c>
    </row>
    <row r="14" spans="1:6" x14ac:dyDescent="0.25">
      <c r="A14">
        <v>1958</v>
      </c>
      <c r="B14" s="1">
        <v>2274</v>
      </c>
      <c r="C14">
        <v>29.01</v>
      </c>
      <c r="D14" s="2">
        <f t="shared" si="0"/>
        <v>23558.044260599792</v>
      </c>
      <c r="E14" s="2">
        <f t="shared" si="1"/>
        <v>19507.251499482936</v>
      </c>
      <c r="F14">
        <f t="shared" si="2"/>
        <v>1.2918994413407856</v>
      </c>
    </row>
    <row r="15" spans="1:6" x14ac:dyDescent="0.25">
      <c r="A15">
        <v>1959</v>
      </c>
      <c r="B15" s="1">
        <v>2335</v>
      </c>
      <c r="C15">
        <v>29.37</v>
      </c>
      <c r="D15" s="2">
        <f t="shared" si="0"/>
        <v>23893.48178413347</v>
      </c>
      <c r="E15" s="2">
        <f t="shared" si="1"/>
        <v>19785.010725229826</v>
      </c>
      <c r="F15">
        <f t="shared" si="2"/>
        <v>1.2409513960703185</v>
      </c>
    </row>
    <row r="16" spans="1:6" x14ac:dyDescent="0.25">
      <c r="A16">
        <v>1960</v>
      </c>
      <c r="B16" s="1">
        <v>2398</v>
      </c>
      <c r="C16">
        <v>29.84</v>
      </c>
      <c r="D16" s="2">
        <f t="shared" si="0"/>
        <v>24151.653083109919</v>
      </c>
      <c r="E16" s="2">
        <f t="shared" si="1"/>
        <v>19998.789611260054</v>
      </c>
      <c r="F16">
        <f t="shared" si="2"/>
        <v>1.6002723867892368</v>
      </c>
    </row>
    <row r="17" spans="1:6" x14ac:dyDescent="0.25">
      <c r="A17">
        <v>1961</v>
      </c>
      <c r="B17" s="1">
        <v>2513</v>
      </c>
      <c r="C17">
        <v>30.04</v>
      </c>
      <c r="D17" s="2">
        <f t="shared" si="0"/>
        <v>25141.377097203727</v>
      </c>
      <c r="E17" s="2">
        <f t="shared" si="1"/>
        <v>20818.331125166445</v>
      </c>
      <c r="F17">
        <f t="shared" si="2"/>
        <v>0.67024128686326845</v>
      </c>
    </row>
    <row r="18" spans="1:6" x14ac:dyDescent="0.25">
      <c r="A18">
        <v>1962</v>
      </c>
      <c r="B18" s="1">
        <v>2603</v>
      </c>
      <c r="C18">
        <v>30.44</v>
      </c>
      <c r="D18" s="2">
        <f t="shared" si="0"/>
        <v>25699.579763469119</v>
      </c>
      <c r="E18" s="2">
        <f t="shared" si="1"/>
        <v>21280.551149802894</v>
      </c>
      <c r="F18">
        <f t="shared" si="2"/>
        <v>1.3315579227696477</v>
      </c>
    </row>
    <row r="19" spans="1:6" x14ac:dyDescent="0.25">
      <c r="A19">
        <v>1963</v>
      </c>
      <c r="B19" s="1">
        <v>2752</v>
      </c>
      <c r="C19">
        <v>30.94</v>
      </c>
      <c r="D19" s="2">
        <f t="shared" si="0"/>
        <v>26731.57957336781</v>
      </c>
      <c r="E19" s="2">
        <f t="shared" si="1"/>
        <v>22135.099159663863</v>
      </c>
      <c r="F19">
        <f t="shared" si="2"/>
        <v>1.6425755584756898</v>
      </c>
    </row>
    <row r="20" spans="1:6" x14ac:dyDescent="0.25">
      <c r="A20">
        <v>1964</v>
      </c>
      <c r="B20" s="1">
        <v>2936</v>
      </c>
      <c r="C20">
        <v>31.28</v>
      </c>
      <c r="D20" s="2">
        <f t="shared" si="0"/>
        <v>28208.877749360614</v>
      </c>
      <c r="E20" s="2">
        <f t="shared" si="1"/>
        <v>23358.376726342711</v>
      </c>
      <c r="F20">
        <f t="shared" si="2"/>
        <v>1.0989010989010983</v>
      </c>
    </row>
    <row r="21" spans="1:6" x14ac:dyDescent="0.25">
      <c r="A21">
        <v>1965</v>
      </c>
      <c r="B21" s="1">
        <v>3155</v>
      </c>
      <c r="C21">
        <v>31.88</v>
      </c>
      <c r="D21" s="2">
        <f t="shared" si="0"/>
        <v>29742.505646173147</v>
      </c>
      <c r="E21" s="2">
        <f t="shared" si="1"/>
        <v>24628.298149309914</v>
      </c>
      <c r="F21">
        <f t="shared" si="2"/>
        <v>1.9181585677749291</v>
      </c>
    </row>
    <row r="22" spans="1:6" x14ac:dyDescent="0.25">
      <c r="A22">
        <v>1966</v>
      </c>
      <c r="B22" s="1">
        <v>3350</v>
      </c>
      <c r="C22">
        <v>32.9</v>
      </c>
      <c r="D22" s="2">
        <f t="shared" si="0"/>
        <v>30601.689969604864</v>
      </c>
      <c r="E22" s="2">
        <f t="shared" si="1"/>
        <v>25339.746200607904</v>
      </c>
      <c r="F22">
        <f t="shared" si="2"/>
        <v>3.1994981179422823</v>
      </c>
    </row>
    <row r="23" spans="1:6" x14ac:dyDescent="0.25">
      <c r="A23">
        <v>1967</v>
      </c>
      <c r="B23" s="1">
        <v>3641</v>
      </c>
      <c r="C23">
        <v>34.1</v>
      </c>
      <c r="D23" s="2">
        <f t="shared" si="0"/>
        <v>32089.489032258065</v>
      </c>
      <c r="E23" s="2">
        <f t="shared" si="1"/>
        <v>26571.719032258065</v>
      </c>
      <c r="F23">
        <f t="shared" si="2"/>
        <v>3.6474164133738691</v>
      </c>
    </row>
    <row r="24" spans="1:6" x14ac:dyDescent="0.25">
      <c r="A24">
        <v>1968</v>
      </c>
      <c r="B24" s="1">
        <v>3948</v>
      </c>
      <c r="C24">
        <v>35.700000000000003</v>
      </c>
      <c r="D24" s="2">
        <f t="shared" si="0"/>
        <v>33235.745882352938</v>
      </c>
      <c r="E24" s="2">
        <f t="shared" si="1"/>
        <v>27520.877647058824</v>
      </c>
      <c r="F24">
        <f t="shared" si="2"/>
        <v>4.692082111436954</v>
      </c>
    </row>
    <row r="25" spans="1:6" x14ac:dyDescent="0.25">
      <c r="A25">
        <v>1969</v>
      </c>
      <c r="B25" s="1">
        <v>4218</v>
      </c>
      <c r="C25">
        <v>37.9</v>
      </c>
      <c r="D25" s="2">
        <f t="shared" si="0"/>
        <v>33447.515778364119</v>
      </c>
      <c r="E25" s="2">
        <f t="shared" si="1"/>
        <v>27696.233825857522</v>
      </c>
      <c r="F25">
        <f t="shared" si="2"/>
        <v>6.1624649859943856</v>
      </c>
    </row>
    <row r="26" spans="1:6" x14ac:dyDescent="0.25">
      <c r="A26">
        <v>1970</v>
      </c>
      <c r="B26" s="1">
        <v>4491</v>
      </c>
      <c r="C26">
        <v>39.9</v>
      </c>
      <c r="D26" s="2">
        <f t="shared" si="0"/>
        <v>33827.24751879699</v>
      </c>
      <c r="E26" s="2">
        <f t="shared" si="1"/>
        <v>28010.670902255642</v>
      </c>
      <c r="F26">
        <f t="shared" si="2"/>
        <v>5.2770448548812663</v>
      </c>
    </row>
    <row r="27" spans="1:6" x14ac:dyDescent="0.25">
      <c r="A27">
        <v>1971</v>
      </c>
      <c r="B27" s="1">
        <v>4880</v>
      </c>
      <c r="C27">
        <v>41.2</v>
      </c>
      <c r="D27" s="2">
        <f t="shared" si="0"/>
        <v>35597.467961165043</v>
      </c>
      <c r="E27" s="2">
        <f t="shared" si="1"/>
        <v>29476.502912621359</v>
      </c>
      <c r="F27">
        <f t="shared" si="2"/>
        <v>3.258145363408532</v>
      </c>
    </row>
    <row r="28" spans="1:6" x14ac:dyDescent="0.25">
      <c r="A28">
        <v>1972</v>
      </c>
      <c r="B28" s="1">
        <v>5383</v>
      </c>
      <c r="C28">
        <v>42.7</v>
      </c>
      <c r="D28" s="2">
        <f t="shared" si="0"/>
        <v>37887.243278688518</v>
      </c>
      <c r="E28" s="2">
        <f t="shared" si="1"/>
        <v>31372.552622950818</v>
      </c>
      <c r="F28">
        <f t="shared" si="2"/>
        <v>3.6407766990291259</v>
      </c>
    </row>
    <row r="29" spans="1:6" x14ac:dyDescent="0.25">
      <c r="A29">
        <v>1973</v>
      </c>
      <c r="B29" s="1">
        <v>5852</v>
      </c>
      <c r="C29">
        <v>46.8</v>
      </c>
      <c r="D29" s="2">
        <f t="shared" si="0"/>
        <v>37579.843418803423</v>
      </c>
      <c r="E29" s="2">
        <f t="shared" si="1"/>
        <v>31118.010000000002</v>
      </c>
      <c r="F29">
        <f t="shared" si="2"/>
        <v>9.6018735362997525</v>
      </c>
    </row>
    <row r="30" spans="1:6" x14ac:dyDescent="0.25">
      <c r="A30">
        <v>1974</v>
      </c>
      <c r="B30" s="1">
        <v>6340</v>
      </c>
      <c r="C30">
        <v>52.3</v>
      </c>
      <c r="D30" s="2">
        <f t="shared" si="0"/>
        <v>36432.088718929255</v>
      </c>
      <c r="E30" s="2">
        <f t="shared" si="1"/>
        <v>30167.611089866161</v>
      </c>
      <c r="F30">
        <f t="shared" si="2"/>
        <v>11.752136752136753</v>
      </c>
    </row>
    <row r="31" spans="1:6" x14ac:dyDescent="0.25">
      <c r="A31">
        <v>1975</v>
      </c>
      <c r="B31" s="1">
        <v>6890</v>
      </c>
      <c r="C31">
        <v>55.8</v>
      </c>
      <c r="D31" s="2">
        <f t="shared" si="0"/>
        <v>37109.194265232974</v>
      </c>
      <c r="E31" s="2">
        <f t="shared" si="1"/>
        <v>30728.288709677421</v>
      </c>
      <c r="F31">
        <f t="shared" si="2"/>
        <v>6.6921606118546846</v>
      </c>
    </row>
    <row r="32" spans="1:6" x14ac:dyDescent="0.25">
      <c r="A32">
        <v>1976</v>
      </c>
      <c r="B32" s="1">
        <v>7532</v>
      </c>
      <c r="C32">
        <v>58.7</v>
      </c>
      <c r="D32" s="2">
        <f t="shared" si="0"/>
        <v>38562.813492333902</v>
      </c>
      <c r="E32" s="2">
        <f t="shared" si="1"/>
        <v>31931.958909710393</v>
      </c>
      <c r="F32">
        <f t="shared" si="2"/>
        <v>5.1971326164874654</v>
      </c>
    </row>
    <row r="33" spans="1:6" x14ac:dyDescent="0.25">
      <c r="A33">
        <v>1977</v>
      </c>
      <c r="B33" s="1">
        <v>8371</v>
      </c>
      <c r="C33">
        <v>62.7</v>
      </c>
      <c r="D33" s="2">
        <f t="shared" si="0"/>
        <v>40124.192280701754</v>
      </c>
      <c r="E33" s="2">
        <f t="shared" si="1"/>
        <v>33224.859473684206</v>
      </c>
      <c r="F33">
        <f t="shared" si="2"/>
        <v>6.8143100511073254</v>
      </c>
    </row>
    <row r="34" spans="1:6" x14ac:dyDescent="0.25">
      <c r="A34">
        <v>1978</v>
      </c>
      <c r="B34" s="1">
        <v>9252</v>
      </c>
      <c r="C34">
        <v>68.5</v>
      </c>
      <c r="D34" s="2">
        <f t="shared" si="0"/>
        <v>40592.103240875913</v>
      </c>
      <c r="E34" s="2">
        <f t="shared" si="1"/>
        <v>33612.313401459855</v>
      </c>
      <c r="F34">
        <f t="shared" si="2"/>
        <v>9.2503987240829311</v>
      </c>
    </row>
    <row r="35" spans="1:6" x14ac:dyDescent="0.25">
      <c r="A35">
        <v>1979</v>
      </c>
      <c r="B35" s="1">
        <v>10207</v>
      </c>
      <c r="C35">
        <v>78</v>
      </c>
      <c r="D35" s="2">
        <f t="shared" si="0"/>
        <v>39327.832717948717</v>
      </c>
      <c r="E35" s="2">
        <f t="shared" si="1"/>
        <v>32565.433500000003</v>
      </c>
      <c r="F35">
        <f t="shared" si="2"/>
        <v>13.868613138686131</v>
      </c>
    </row>
    <row r="36" spans="1:6" x14ac:dyDescent="0.25">
      <c r="A36">
        <v>1980</v>
      </c>
      <c r="B36" s="1">
        <v>11318</v>
      </c>
      <c r="C36">
        <v>87.2</v>
      </c>
      <c r="D36" s="2">
        <f t="shared" si="0"/>
        <v>39007.642752293577</v>
      </c>
      <c r="E36" s="2">
        <f t="shared" si="1"/>
        <v>32300.300022935779</v>
      </c>
      <c r="F36">
        <f t="shared" si="2"/>
        <v>11.794871794871797</v>
      </c>
    </row>
    <row r="37" spans="1:6" x14ac:dyDescent="0.25">
      <c r="A37">
        <v>1981</v>
      </c>
      <c r="B37" s="1">
        <v>12012</v>
      </c>
      <c r="C37">
        <v>94.4</v>
      </c>
      <c r="D37" s="2">
        <f t="shared" si="0"/>
        <v>38241.932542372881</v>
      </c>
      <c r="E37" s="2">
        <f t="shared" si="1"/>
        <v>31666.253262711863</v>
      </c>
      <c r="F37">
        <f t="shared" si="2"/>
        <v>8.256880733944957</v>
      </c>
    </row>
    <row r="38" spans="1:6" x14ac:dyDescent="0.25">
      <c r="A38">
        <v>1982</v>
      </c>
      <c r="B38" s="1">
        <v>12724</v>
      </c>
      <c r="C38">
        <v>97.9</v>
      </c>
      <c r="D38" s="2">
        <f t="shared" si="0"/>
        <v>39060.470520939736</v>
      </c>
      <c r="E38" s="2">
        <f t="shared" si="1"/>
        <v>32344.044085801837</v>
      </c>
      <c r="F38">
        <f t="shared" si="2"/>
        <v>3.7076271186440675</v>
      </c>
    </row>
    <row r="39" spans="1:6" x14ac:dyDescent="0.25">
      <c r="A39">
        <v>1983</v>
      </c>
      <c r="B39" s="1">
        <v>13912</v>
      </c>
      <c r="C39">
        <v>102.1</v>
      </c>
      <c r="D39" s="2">
        <f t="shared" si="0"/>
        <v>40950.605602350639</v>
      </c>
      <c r="E39" s="2">
        <f t="shared" si="1"/>
        <v>33909.171478942219</v>
      </c>
      <c r="F39">
        <f t="shared" si="2"/>
        <v>4.2900919305413572</v>
      </c>
    </row>
    <row r="40" spans="1:6" x14ac:dyDescent="0.25">
      <c r="A40">
        <v>1984</v>
      </c>
      <c r="B40" s="1">
        <v>14771</v>
      </c>
      <c r="C40">
        <v>105.7</v>
      </c>
      <c r="D40" s="2">
        <f t="shared" si="0"/>
        <v>41998.271106906337</v>
      </c>
      <c r="E40" s="2">
        <f t="shared" si="1"/>
        <v>34776.691475875123</v>
      </c>
      <c r="F40">
        <f t="shared" si="2"/>
        <v>3.5259549461312525</v>
      </c>
    </row>
    <row r="41" spans="1:6" x14ac:dyDescent="0.25">
      <c r="A41">
        <v>1985</v>
      </c>
      <c r="B41" s="1">
        <v>15503</v>
      </c>
      <c r="C41">
        <v>109.9</v>
      </c>
      <c r="D41" s="2">
        <f t="shared" si="0"/>
        <v>42394.991883530478</v>
      </c>
      <c r="E41" s="2">
        <f t="shared" si="1"/>
        <v>35105.196333030028</v>
      </c>
      <c r="F41">
        <f t="shared" si="2"/>
        <v>3.973509933774837</v>
      </c>
    </row>
    <row r="42" spans="1:6" x14ac:dyDescent="0.25">
      <c r="A42">
        <v>1986</v>
      </c>
      <c r="B42" s="1">
        <v>16252</v>
      </c>
      <c r="C42">
        <v>111.4</v>
      </c>
      <c r="D42" s="2">
        <f t="shared" si="0"/>
        <v>43844.803159784555</v>
      </c>
      <c r="E42" s="2">
        <f t="shared" si="1"/>
        <v>36305.713357271095</v>
      </c>
      <c r="F42">
        <f t="shared" si="2"/>
        <v>1.3648771610555048</v>
      </c>
    </row>
    <row r="43" spans="1:6" x14ac:dyDescent="0.25">
      <c r="A43">
        <v>1987</v>
      </c>
      <c r="B43" s="1">
        <v>17465</v>
      </c>
      <c r="C43">
        <v>116</v>
      </c>
      <c r="D43" s="2">
        <f t="shared" si="0"/>
        <v>45248.803793103449</v>
      </c>
      <c r="E43" s="2">
        <f t="shared" si="1"/>
        <v>37468.296853448279</v>
      </c>
      <c r="F43">
        <f t="shared" si="2"/>
        <v>4.1292639138240519</v>
      </c>
    </row>
    <row r="44" spans="1:6" x14ac:dyDescent="0.25">
      <c r="A44">
        <v>1988</v>
      </c>
      <c r="B44" s="1">
        <v>18679</v>
      </c>
      <c r="C44">
        <v>121.2</v>
      </c>
      <c r="D44" s="2">
        <f t="shared" si="0"/>
        <v>46317.75531353135</v>
      </c>
      <c r="E44" s="2">
        <f t="shared" si="1"/>
        <v>38353.44274752475</v>
      </c>
      <c r="F44">
        <f t="shared" si="2"/>
        <v>4.4827586206896575</v>
      </c>
    </row>
    <row r="45" spans="1:6" x14ac:dyDescent="0.25">
      <c r="A45">
        <v>1989</v>
      </c>
      <c r="B45" s="1">
        <v>19639</v>
      </c>
      <c r="C45">
        <v>127.5</v>
      </c>
      <c r="D45" s="2">
        <f t="shared" si="0"/>
        <v>46291.972580392154</v>
      </c>
      <c r="E45" s="2">
        <f t="shared" si="1"/>
        <v>38332.093341176478</v>
      </c>
      <c r="F45">
        <f t="shared" si="2"/>
        <v>5.1980198019801964</v>
      </c>
    </row>
    <row r="46" spans="1:6" x14ac:dyDescent="0.25">
      <c r="A46">
        <v>1990</v>
      </c>
      <c r="B46" s="1">
        <v>20076</v>
      </c>
      <c r="C46">
        <v>134.69999999999999</v>
      </c>
      <c r="D46" s="2">
        <f t="shared" si="0"/>
        <v>44792.581559020044</v>
      </c>
      <c r="E46" s="2">
        <f t="shared" si="1"/>
        <v>37090.521781737196</v>
      </c>
      <c r="F46">
        <f t="shared" si="2"/>
        <v>5.6470588235294032</v>
      </c>
    </row>
    <row r="47" spans="1:6" x14ac:dyDescent="0.25">
      <c r="A47">
        <v>1991</v>
      </c>
      <c r="B47" s="1">
        <v>21086</v>
      </c>
      <c r="C47">
        <v>138.30000000000001</v>
      </c>
      <c r="D47" s="2">
        <f t="shared" si="0"/>
        <v>45821.417903109177</v>
      </c>
      <c r="E47" s="2">
        <f t="shared" si="1"/>
        <v>37942.450281995654</v>
      </c>
      <c r="F47">
        <f t="shared" si="2"/>
        <v>2.6726057906458967</v>
      </c>
    </row>
    <row r="48" spans="1:6" x14ac:dyDescent="0.25">
      <c r="A48">
        <v>1992</v>
      </c>
      <c r="B48" s="1">
        <v>21718</v>
      </c>
      <c r="C48">
        <v>142.80000000000001</v>
      </c>
      <c r="D48" s="2">
        <f t="shared" si="0"/>
        <v>45707.568963585429</v>
      </c>
      <c r="E48" s="2">
        <f t="shared" si="1"/>
        <v>37848.177605042016</v>
      </c>
      <c r="F48">
        <f t="shared" si="2"/>
        <v>3.2537960954446854</v>
      </c>
    </row>
    <row r="49" spans="1:6" x14ac:dyDescent="0.25">
      <c r="A49">
        <v>1993</v>
      </c>
      <c r="B49" s="1">
        <v>22550</v>
      </c>
      <c r="C49">
        <v>146.30000000000001</v>
      </c>
      <c r="D49" s="2">
        <f t="shared" si="0"/>
        <v>46323.218045112779</v>
      </c>
      <c r="E49" s="2">
        <f t="shared" si="1"/>
        <v>38357.966165413534</v>
      </c>
      <c r="F49">
        <f t="shared" si="2"/>
        <v>2.4509803921568625</v>
      </c>
    </row>
    <row r="50" spans="1:6" x14ac:dyDescent="0.25">
      <c r="A50">
        <v>1994</v>
      </c>
      <c r="B50" s="1">
        <v>23570</v>
      </c>
      <c r="C50">
        <v>150.5</v>
      </c>
      <c r="D50" s="2">
        <f t="shared" si="0"/>
        <v>47067.332358803993</v>
      </c>
      <c r="E50" s="2">
        <f t="shared" si="1"/>
        <v>38974.130431893689</v>
      </c>
      <c r="F50">
        <f t="shared" si="2"/>
        <v>2.8708133971291785</v>
      </c>
    </row>
    <row r="51" spans="1:6" x14ac:dyDescent="0.25">
      <c r="A51">
        <v>1995</v>
      </c>
      <c r="B51" s="1">
        <v>24716</v>
      </c>
      <c r="C51">
        <v>154.69999999999999</v>
      </c>
      <c r="D51" s="2">
        <f t="shared" si="0"/>
        <v>48015.822727860374</v>
      </c>
      <c r="E51" s="2">
        <f t="shared" si="1"/>
        <v>39759.528403361342</v>
      </c>
      <c r="F51">
        <f t="shared" si="2"/>
        <v>2.7906976744185972</v>
      </c>
    </row>
    <row r="52" spans="1:6" x14ac:dyDescent="0.25">
      <c r="A52">
        <v>1996</v>
      </c>
      <c r="B52" s="1">
        <v>25916</v>
      </c>
      <c r="C52">
        <v>159.4</v>
      </c>
      <c r="D52" s="2">
        <f t="shared" si="0"/>
        <v>48862.553174404013</v>
      </c>
      <c r="E52" s="2">
        <f t="shared" si="1"/>
        <v>40460.664015056464</v>
      </c>
      <c r="F52">
        <f t="shared" si="2"/>
        <v>3.0381383322559907</v>
      </c>
    </row>
    <row r="53" spans="1:6" x14ac:dyDescent="0.25">
      <c r="A53">
        <v>1997</v>
      </c>
      <c r="B53" s="1">
        <v>27479</v>
      </c>
      <c r="C53">
        <v>162</v>
      </c>
      <c r="D53" s="2">
        <f t="shared" si="0"/>
        <v>50977.955209876542</v>
      </c>
      <c r="E53" s="2">
        <f t="shared" si="1"/>
        <v>42212.323833333336</v>
      </c>
      <c r="F53">
        <f t="shared" si="2"/>
        <v>1.6311166875784155</v>
      </c>
    </row>
    <row r="54" spans="1:6" x14ac:dyDescent="0.25">
      <c r="A54">
        <v>1998</v>
      </c>
      <c r="B54" s="1">
        <v>28564</v>
      </c>
      <c r="C54">
        <v>164.7</v>
      </c>
      <c r="D54" s="2">
        <f t="shared" si="0"/>
        <v>52122.10263509411</v>
      </c>
      <c r="E54" s="2">
        <f t="shared" si="1"/>
        <v>43159.735737704919</v>
      </c>
      <c r="F54">
        <f t="shared" si="2"/>
        <v>1.6666666666666596</v>
      </c>
    </row>
    <row r="55" spans="1:6" x14ac:dyDescent="0.25">
      <c r="A55">
        <v>1999</v>
      </c>
      <c r="B55" s="1">
        <v>30529</v>
      </c>
      <c r="C55">
        <v>169.3</v>
      </c>
      <c r="D55" s="2">
        <f t="shared" si="0"/>
        <v>54194.11425871234</v>
      </c>
      <c r="E55" s="2">
        <f t="shared" si="1"/>
        <v>44875.4661015948</v>
      </c>
      <c r="F55">
        <f t="shared" si="2"/>
        <v>2.7929568913175609</v>
      </c>
    </row>
    <row r="56" spans="1:6" x14ac:dyDescent="0.25">
      <c r="A56">
        <v>2000</v>
      </c>
      <c r="B56" s="1">
        <v>31530</v>
      </c>
      <c r="C56">
        <v>175.6</v>
      </c>
      <c r="D56" s="2">
        <f t="shared" si="0"/>
        <v>53962.984510250571</v>
      </c>
      <c r="E56" s="2">
        <f t="shared" si="1"/>
        <v>44684.078986332577</v>
      </c>
      <c r="F56">
        <f t="shared" si="2"/>
        <v>3.7212049616066052</v>
      </c>
    </row>
    <row r="57" spans="1:6" x14ac:dyDescent="0.25">
      <c r="A57">
        <v>2001</v>
      </c>
      <c r="B57" s="1">
        <v>31776</v>
      </c>
      <c r="C57">
        <v>177.7</v>
      </c>
      <c r="D57" s="2">
        <f t="shared" si="0"/>
        <v>53741.31646595386</v>
      </c>
      <c r="E57" s="2">
        <f t="shared" si="1"/>
        <v>44500.526640405187</v>
      </c>
      <c r="F57">
        <f t="shared" si="2"/>
        <v>1.1958997722095639</v>
      </c>
    </row>
    <row r="58" spans="1:6" x14ac:dyDescent="0.25">
      <c r="A58">
        <v>2002</v>
      </c>
      <c r="B58" s="1">
        <v>32625</v>
      </c>
      <c r="C58">
        <v>182.6</v>
      </c>
      <c r="D58" s="2">
        <f t="shared" si="0"/>
        <v>53696.533406352683</v>
      </c>
      <c r="E58" s="2">
        <f t="shared" si="1"/>
        <v>44463.444003285869</v>
      </c>
      <c r="F58">
        <f t="shared" si="2"/>
        <v>2.7574563871693898</v>
      </c>
    </row>
    <row r="59" spans="1:6" x14ac:dyDescent="0.25">
      <c r="A59">
        <v>2003</v>
      </c>
      <c r="B59" s="1">
        <v>34153</v>
      </c>
      <c r="C59">
        <v>186.3</v>
      </c>
      <c r="D59" s="2">
        <f t="shared" si="0"/>
        <v>55095.040300590437</v>
      </c>
      <c r="E59" s="2">
        <f t="shared" si="1"/>
        <v>45621.478405797105</v>
      </c>
      <c r="F59">
        <f t="shared" si="2"/>
        <v>2.0262869660460114</v>
      </c>
    </row>
    <row r="60" spans="1:6" x14ac:dyDescent="0.25">
      <c r="A60">
        <v>2004</v>
      </c>
      <c r="B60" s="1">
        <v>35630</v>
      </c>
      <c r="C60">
        <v>191.6</v>
      </c>
      <c r="D60" s="2">
        <f t="shared" si="0"/>
        <v>55887.774947807935</v>
      </c>
      <c r="E60" s="2">
        <f t="shared" si="1"/>
        <v>46277.902766179541</v>
      </c>
      <c r="F60">
        <f t="shared" si="2"/>
        <v>2.8448738593666039</v>
      </c>
    </row>
    <row r="61" spans="1:6" x14ac:dyDescent="0.25">
      <c r="A61">
        <v>2005</v>
      </c>
      <c r="B61" s="1">
        <v>37822</v>
      </c>
      <c r="C61">
        <v>199.3</v>
      </c>
      <c r="D61" s="2">
        <f t="shared" si="0"/>
        <v>57033.98189663823</v>
      </c>
      <c r="E61" s="2">
        <f t="shared" si="1"/>
        <v>47227.020060210743</v>
      </c>
      <c r="F61">
        <f t="shared" si="2"/>
        <v>4.0187891440501131</v>
      </c>
    </row>
    <row r="62" spans="1:6" x14ac:dyDescent="0.25">
      <c r="A62">
        <v>2006</v>
      </c>
      <c r="B62" s="1">
        <v>39550</v>
      </c>
      <c r="C62">
        <v>203.43700000000001</v>
      </c>
      <c r="D62" s="2">
        <f t="shared" si="0"/>
        <v>58426.927255120747</v>
      </c>
      <c r="E62" s="2">
        <f t="shared" si="1"/>
        <v>48380.449229982747</v>
      </c>
      <c r="F62">
        <f t="shared" si="2"/>
        <v>2.0757651781234321</v>
      </c>
    </row>
    <row r="63" spans="1:6" x14ac:dyDescent="0.25">
      <c r="A63">
        <v>2007</v>
      </c>
      <c r="B63" s="1">
        <v>40801</v>
      </c>
      <c r="C63">
        <v>212.17400000000001</v>
      </c>
      <c r="D63" s="2">
        <f t="shared" si="0"/>
        <v>57792.98752910347</v>
      </c>
      <c r="E63" s="2">
        <f t="shared" si="1"/>
        <v>47855.515091387257</v>
      </c>
      <c r="F63">
        <f t="shared" si="2"/>
        <v>4.2946956551659703</v>
      </c>
    </row>
    <row r="64" spans="1:6" x14ac:dyDescent="0.25">
      <c r="A64">
        <v>2008</v>
      </c>
      <c r="B64" s="1">
        <v>39271</v>
      </c>
      <c r="C64">
        <v>211.93299999999999</v>
      </c>
      <c r="D64" s="2">
        <f t="shared" si="0"/>
        <v>55689.058598708092</v>
      </c>
      <c r="E64" s="2">
        <f t="shared" si="1"/>
        <v>46113.355584076104</v>
      </c>
      <c r="F64">
        <f t="shared" si="2"/>
        <v>-0.11358601902212989</v>
      </c>
    </row>
    <row r="65" spans="1:6" x14ac:dyDescent="0.25">
      <c r="A65">
        <v>2009</v>
      </c>
      <c r="B65" s="1">
        <v>40526</v>
      </c>
      <c r="C65">
        <v>217.488</v>
      </c>
      <c r="D65" s="2">
        <f t="shared" si="0"/>
        <v>56000.891708967858</v>
      </c>
      <c r="E65" s="2">
        <f t="shared" si="1"/>
        <v>46371.56916243655</v>
      </c>
      <c r="F65">
        <f t="shared" si="2"/>
        <v>2.6211113889767081</v>
      </c>
    </row>
    <row r="66" spans="1:6" x14ac:dyDescent="0.25">
      <c r="A66">
        <v>2010</v>
      </c>
      <c r="B66" s="1">
        <v>42619</v>
      </c>
      <c r="C66">
        <v>221.18700000000001</v>
      </c>
      <c r="D66" s="2">
        <f t="shared" si="0"/>
        <v>57908.212435631387</v>
      </c>
      <c r="E66" s="2">
        <f t="shared" si="1"/>
        <v>47950.927138575054</v>
      </c>
      <c r="F66">
        <f t="shared" si="2"/>
        <v>1.7007834915029851</v>
      </c>
    </row>
    <row r="67" spans="1:6" x14ac:dyDescent="0.25">
      <c r="A67">
        <v>2011</v>
      </c>
      <c r="B67" s="1">
        <v>44222</v>
      </c>
      <c r="C67">
        <v>227.84200000000001</v>
      </c>
      <c r="D67" s="2">
        <f t="shared" ref="D67:D78" si="3">300.536*B67/C67</f>
        <v>58331.225112139116</v>
      </c>
      <c r="E67" s="2">
        <f t="shared" ref="E67:E78" si="4">B67*248.859/C67</f>
        <v>48301.203017880813</v>
      </c>
      <c r="F67">
        <f t="shared" si="2"/>
        <v>3.0087663379855059</v>
      </c>
    </row>
    <row r="68" spans="1:6" x14ac:dyDescent="0.25">
      <c r="A68">
        <v>2012</v>
      </c>
      <c r="B68" s="1">
        <v>44367</v>
      </c>
      <c r="C68">
        <v>231.679</v>
      </c>
      <c r="D68" s="2">
        <f t="shared" si="3"/>
        <v>57553.255633872723</v>
      </c>
      <c r="E68" s="2">
        <f t="shared" si="4"/>
        <v>47657.004963764521</v>
      </c>
      <c r="F68">
        <f t="shared" ref="F68:F79" si="5">100*(C68-C67)/C67</f>
        <v>1.6840617620982914</v>
      </c>
    </row>
    <row r="69" spans="1:6" x14ac:dyDescent="0.25">
      <c r="A69">
        <v>2013</v>
      </c>
      <c r="B69" s="1">
        <v>46258</v>
      </c>
      <c r="C69">
        <v>235.28800000000001</v>
      </c>
      <c r="D69" s="2">
        <f t="shared" si="3"/>
        <v>59085.861956410867</v>
      </c>
      <c r="E69" s="2">
        <f t="shared" si="4"/>
        <v>48926.080471592257</v>
      </c>
      <c r="F69">
        <f t="shared" si="5"/>
        <v>1.5577587955749157</v>
      </c>
    </row>
    <row r="70" spans="1:6" x14ac:dyDescent="0.25">
      <c r="A70">
        <v>2014</v>
      </c>
      <c r="B70" s="1">
        <v>48038</v>
      </c>
      <c r="C70">
        <v>234.74700000000001</v>
      </c>
      <c r="D70" s="2">
        <f t="shared" si="3"/>
        <v>61500.885498004231</v>
      </c>
      <c r="E70" s="2">
        <f t="shared" si="4"/>
        <v>50925.84204270981</v>
      </c>
      <c r="F70">
        <f t="shared" si="5"/>
        <v>-0.22993097820543199</v>
      </c>
    </row>
    <row r="71" spans="1:6" x14ac:dyDescent="0.25">
      <c r="A71">
        <v>2015</v>
      </c>
      <c r="B71" s="1">
        <v>48944</v>
      </c>
      <c r="C71">
        <v>237.65199999999999</v>
      </c>
      <c r="D71" s="2">
        <f t="shared" si="3"/>
        <v>61894.846178445798</v>
      </c>
      <c r="E71" s="2">
        <f t="shared" si="4"/>
        <v>51252.061400703555</v>
      </c>
      <c r="F71">
        <f t="shared" si="5"/>
        <v>1.2375025026943784</v>
      </c>
    </row>
    <row r="72" spans="1:6" x14ac:dyDescent="0.25">
      <c r="A72">
        <v>2016</v>
      </c>
      <c r="B72" s="1">
        <v>50978</v>
      </c>
      <c r="C72">
        <v>243.61799999999999</v>
      </c>
      <c r="D72" s="2">
        <f t="shared" si="3"/>
        <v>62888.309599454886</v>
      </c>
      <c r="E72" s="2">
        <f t="shared" si="4"/>
        <v>52074.699332561635</v>
      </c>
      <c r="F72">
        <f t="shared" si="5"/>
        <v>2.5103933482571192</v>
      </c>
    </row>
    <row r="73" spans="1:6" x14ac:dyDescent="0.25">
      <c r="A73">
        <v>2017</v>
      </c>
      <c r="B73" s="1">
        <v>53310</v>
      </c>
      <c r="C73">
        <v>248.85900000000001</v>
      </c>
      <c r="D73" s="2">
        <f t="shared" si="3"/>
        <v>64380.127542102149</v>
      </c>
      <c r="E73" s="2">
        <f t="shared" si="4"/>
        <v>53310</v>
      </c>
      <c r="F73">
        <f t="shared" si="5"/>
        <v>2.1513188680639419</v>
      </c>
    </row>
    <row r="74" spans="1:6" x14ac:dyDescent="0.25">
      <c r="A74">
        <v>2018</v>
      </c>
      <c r="B74" s="1">
        <v>55539</v>
      </c>
      <c r="C74">
        <v>252.71799999999999</v>
      </c>
      <c r="D74" s="2">
        <f t="shared" si="3"/>
        <v>66047.803892085241</v>
      </c>
      <c r="E74" s="2">
        <f t="shared" si="4"/>
        <v>54690.920318299453</v>
      </c>
      <c r="F74">
        <f t="shared" si="5"/>
        <v>1.5506772911568318</v>
      </c>
    </row>
    <row r="75" spans="1:6" x14ac:dyDescent="0.25">
      <c r="A75">
        <v>2019</v>
      </c>
      <c r="B75" s="1">
        <v>59159</v>
      </c>
      <c r="C75">
        <v>259.03699999999998</v>
      </c>
      <c r="D75" s="2">
        <f t="shared" si="3"/>
        <v>68636.562437026369</v>
      </c>
      <c r="E75" s="2">
        <f t="shared" si="4"/>
        <v>56834.543254438562</v>
      </c>
      <c r="F75">
        <f t="shared" si="5"/>
        <v>2.5004154828702303</v>
      </c>
    </row>
    <row r="76" spans="1:6" x14ac:dyDescent="0.25">
      <c r="A76">
        <v>2020</v>
      </c>
      <c r="B76" s="1">
        <v>64410</v>
      </c>
      <c r="C76">
        <v>262.64999999999998</v>
      </c>
      <c r="D76" s="2">
        <f t="shared" si="3"/>
        <v>73700.832895488304</v>
      </c>
      <c r="E76" s="2">
        <f t="shared" si="4"/>
        <v>61028.015191319253</v>
      </c>
      <c r="F76">
        <f t="shared" si="5"/>
        <v>1.3947814404891965</v>
      </c>
    </row>
    <row r="77" spans="1:6" x14ac:dyDescent="0.25">
      <c r="A77">
        <v>2021</v>
      </c>
      <c r="B77" s="1">
        <v>65476</v>
      </c>
      <c r="C77">
        <v>282.59899999999999</v>
      </c>
      <c r="D77" s="2">
        <f t="shared" si="3"/>
        <v>69631.864005180483</v>
      </c>
      <c r="E77" s="2">
        <f t="shared" si="4"/>
        <v>57658.703265050484</v>
      </c>
      <c r="F77">
        <f t="shared" si="5"/>
        <v>7.5952788882543363</v>
      </c>
    </row>
    <row r="78" spans="1:6" x14ac:dyDescent="0.25">
      <c r="A78">
        <v>2022</v>
      </c>
      <c r="B78" s="1">
        <v>68513</v>
      </c>
      <c r="C78">
        <v>300.536</v>
      </c>
      <c r="D78" s="2">
        <f t="shared" si="3"/>
        <v>68513</v>
      </c>
      <c r="E78" s="2">
        <f t="shared" si="4"/>
        <v>56732.227310538503</v>
      </c>
      <c r="F78">
        <f t="shared" si="5"/>
        <v>6.3471562178210155</v>
      </c>
    </row>
    <row r="79" spans="1:6" x14ac:dyDescent="0.25">
      <c r="A79">
        <v>2023</v>
      </c>
      <c r="C79">
        <v>308.85000000000002</v>
      </c>
      <c r="F79">
        <f t="shared" si="5"/>
        <v>2.7663907152554175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2024-01-28T00:40:17Z</dcterms:created>
  <dcterms:modified xsi:type="dcterms:W3CDTF">2024-01-29T00:01:52Z</dcterms:modified>
</cp:coreProperties>
</file>